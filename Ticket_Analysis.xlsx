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 Naveenkumar\Downloads\"/>
    </mc:Choice>
  </mc:AlternateContent>
  <xr:revisionPtr revIDLastSave="0" documentId="8_{ECA0C0AC-A57C-4A70-AD7B-2FFF228E7744}" xr6:coauthVersionLast="47" xr6:coauthVersionMax="47" xr10:uidLastSave="{00000000-0000-0000-0000-000000000000}"/>
  <bookViews>
    <workbookView xWindow="1073" yWindow="1073" windowWidth="16000" windowHeight="9180" activeTab="1" xr2:uid="{00000000-000D-0000-FFFF-FFFF00000000}"/>
  </bookViews>
  <sheets>
    <sheet name="feedbacks" sheetId="2" r:id="rId1"/>
    <sheet name="tick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K4" i="1"/>
  <c r="J4" i="1"/>
  <c r="K3" i="1"/>
  <c r="J3" i="1"/>
  <c r="K2" i="1"/>
  <c r="J2" i="1"/>
  <c r="G2" i="1"/>
  <c r="F2" i="1"/>
</calcChain>
</file>

<file path=xl/sharedStrings.xml><?xml version="1.0" encoding="utf-8"?>
<sst xmlns="http://schemas.openxmlformats.org/spreadsheetml/2006/main" count="29" uniqueCount="26">
  <si>
    <t>ticket_id</t>
  </si>
  <si>
    <t>created_at</t>
  </si>
  <si>
    <t>closed_at</t>
  </si>
  <si>
    <t>outlet_id</t>
  </si>
  <si>
    <t>cms_id</t>
  </si>
  <si>
    <t>Same Day?</t>
  </si>
  <si>
    <t>Same Hour?</t>
  </si>
  <si>
    <t>same_day_count</t>
  </si>
  <si>
    <t>same_hour_count</t>
  </si>
  <si>
    <t>isu-sjd-457</t>
  </si>
  <si>
    <t>wrqy-juv-978</t>
  </si>
  <si>
    <t>vew-iuvd-12</t>
  </si>
  <si>
    <t>outlet-001</t>
  </si>
  <si>
    <t xml:space="preserve">qer-fal-092 </t>
  </si>
  <si>
    <t>8woh-k3u-23b</t>
  </si>
  <si>
    <t>cms-002</t>
  </si>
  <si>
    <t>outlet-002</t>
  </si>
  <si>
    <t>tic-xyz-111</t>
  </si>
  <si>
    <t>cms-003</t>
  </si>
  <si>
    <t>outlet-003</t>
  </si>
  <si>
    <t xml:space="preserve">cms_id  </t>
  </si>
  <si>
    <t xml:space="preserve">feedback_at </t>
  </si>
  <si>
    <t>feedback_rating</t>
  </si>
  <si>
    <t>ticket_created_at</t>
  </si>
  <si>
    <t xml:space="preserve">cms-002 </t>
  </si>
  <si>
    <t xml:space="preserve">cms-003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</si>
</sst>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"/>
  <sheetViews>
    <sheetView workbookViewId="0">
      <selection activeCell="D9" sqref="D9"/>
    </sheetView>
  </sheetViews>
  <sheetFormatPr defaultColWidth="12.64453125" defaultRowHeight="15.75" customHeight="1" x14ac:dyDescent="0.4"/>
  <cols>
    <col min="2" max="2" width="17.46875" bestFit="1" customWidth="1"/>
    <col min="4" max="4" width="19.3515625" customWidth="1"/>
  </cols>
  <sheetData>
    <row r="1" spans="1:4" x14ac:dyDescent="0.4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4">
      <c r="A2" s="1" t="s">
        <v>11</v>
      </c>
      <c r="B2" s="2">
        <v>44429.560277777775</v>
      </c>
      <c r="C2" s="1">
        <v>3</v>
      </c>
      <c r="D2" s="2">
        <f>INDEX(ticket!$B:$B, MATCH(A2, ticket!$E:$E, 0))</f>
        <v>44427.698414351849</v>
      </c>
    </row>
    <row r="3" spans="1:4" x14ac:dyDescent="0.4">
      <c r="A3" s="1" t="s">
        <v>24</v>
      </c>
      <c r="B3" s="2">
        <v>44430.416666666664</v>
      </c>
      <c r="C3" s="1">
        <v>4</v>
      </c>
    </row>
    <row r="4" spans="1:4" x14ac:dyDescent="0.4">
      <c r="A4" s="1" t="s">
        <v>25</v>
      </c>
      <c r="B4" s="2">
        <v>44429.625</v>
      </c>
      <c r="C4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"/>
  <sheetViews>
    <sheetView tabSelected="1" workbookViewId="0">
      <selection activeCell="B2" sqref="B2"/>
    </sheetView>
  </sheetViews>
  <sheetFormatPr defaultColWidth="12.64453125" defaultRowHeight="15.75" customHeight="1" x14ac:dyDescent="0.4"/>
  <cols>
    <col min="2" max="3" width="17.46875" bestFit="1" customWidth="1"/>
    <col min="10" max="10" width="14" customWidth="1"/>
    <col min="11" max="11" width="14.468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3</v>
      </c>
      <c r="J1" s="1" t="s">
        <v>7</v>
      </c>
      <c r="K1" s="1" t="s">
        <v>8</v>
      </c>
    </row>
    <row r="2" spans="1:11" x14ac:dyDescent="0.4">
      <c r="A2" s="1" t="s">
        <v>9</v>
      </c>
      <c r="B2" s="2">
        <v>44427.698414351849</v>
      </c>
      <c r="C2" s="2">
        <v>44430.523287037038</v>
      </c>
      <c r="D2" s="1" t="s">
        <v>10</v>
      </c>
      <c r="E2" s="1" t="s">
        <v>11</v>
      </c>
      <c r="F2" s="1" t="str">
        <f>IF(INT(B2)=INT(C2), "Yes", "No")</f>
        <v>No</v>
      </c>
      <c r="G2" s="1" t="str">
        <f>IF(TEXT(B2,"YYYY-MM-DD HH")=TEXT(C2,"YYYY-MM-DD HH"), "Yes", "No")</f>
        <v>No</v>
      </c>
      <c r="I2" s="1" t="s">
        <v>12</v>
      </c>
      <c r="J2" s="1">
        <f t="shared" ref="J2:J4" si="0">COUNTIFS($D:$D,I2,$F:$F,"Yes")</f>
        <v>0</v>
      </c>
      <c r="K2" s="1">
        <f t="shared" ref="K2:K4" si="1">COUNTIFS($D:$D,I2,$G:$G,"Yes")</f>
        <v>0</v>
      </c>
    </row>
    <row r="3" spans="1:11" x14ac:dyDescent="0.4">
      <c r="A3" s="1" t="s">
        <v>13</v>
      </c>
      <c r="B3" s="2">
        <v>44429.464837962965</v>
      </c>
      <c r="C3" s="2">
        <v>44429.717881944445</v>
      </c>
      <c r="D3" s="1" t="s">
        <v>14</v>
      </c>
      <c r="E3" s="1" t="s">
        <v>15</v>
      </c>
      <c r="I3" s="1" t="s">
        <v>16</v>
      </c>
      <c r="J3" s="1">
        <f t="shared" si="0"/>
        <v>0</v>
      </c>
      <c r="K3" s="1">
        <f t="shared" si="1"/>
        <v>0</v>
      </c>
    </row>
    <row r="4" spans="1:11" x14ac:dyDescent="0.4">
      <c r="A4" s="1" t="s">
        <v>17</v>
      </c>
      <c r="B4" s="2">
        <v>44429.375</v>
      </c>
      <c r="C4" s="2">
        <v>44429.40625</v>
      </c>
      <c r="D4" s="1" t="s">
        <v>10</v>
      </c>
      <c r="E4" s="1" t="s">
        <v>18</v>
      </c>
      <c r="I4" s="1" t="s">
        <v>19</v>
      </c>
      <c r="J4" s="1">
        <f t="shared" si="0"/>
        <v>0</v>
      </c>
      <c r="K4" s="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feedbacks</vt:lpstr>
      <vt:lpstr>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Namasthe</dc:creator>
  <cp:lastModifiedBy>H NAVEEN KUMAR</cp:lastModifiedBy>
  <dcterms:created xsi:type="dcterms:W3CDTF">2026-04-08T17:01:12Z</dcterms:created>
  <dcterms:modified xsi:type="dcterms:W3CDTF">2026-04-08T17:01:12Z</dcterms:modified>
</cp:coreProperties>
</file>